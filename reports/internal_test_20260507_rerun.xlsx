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실행 결과 비교" sheetId="1" state="visible" r:id="rId1"/>
    <sheet xmlns:r="http://schemas.openxmlformats.org/officeDocument/2006/relationships" name="재실행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10"/>
    </font>
    <font>
      <name val="맑은 고딕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D6D6"/>
      </patternFill>
    </fill>
    <fill>
      <patternFill patternType="solid">
        <fgColor rgb="00D6EE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25" customWidth="1" min="3" max="3"/>
    <col width="18" customWidth="1" min="4" max="4"/>
    <col width="14" customWidth="1" min="5" max="5"/>
    <col width="12" customWidth="1" min="6" max="6"/>
    <col width="12" customWidth="1" min="7" max="7"/>
    <col width="10" customWidth="1" min="8" max="8"/>
    <col width="28" customWidth="1" min="9" max="9"/>
    <col width="28" customWidth="1" min="10" max="10"/>
    <col width="50" customWidth="1" min="11" max="11"/>
  </cols>
  <sheetData>
    <row r="1" ht="32" customHeight="1">
      <c r="A1" s="1" t="inlineStr">
        <is>
          <t>No.</t>
        </is>
      </c>
      <c r="B1" s="1" t="inlineStr">
        <is>
          <t>질문</t>
        </is>
      </c>
      <c r="C1" s="1" t="inlineStr">
        <is>
          <t>이전 stage</t>
        </is>
      </c>
      <c r="D1" s="1" t="inlineStr">
        <is>
          <t>재실행 intent</t>
        </is>
      </c>
      <c r="E1" s="1" t="inlineStr">
        <is>
          <t>재실행 응답시간(ms)</t>
        </is>
      </c>
      <c r="F1" s="1" t="inlineStr">
        <is>
          <t>재실행 응답 길이</t>
        </is>
      </c>
      <c r="G1" s="1" t="inlineStr">
        <is>
          <t>재실행 source_urls</t>
        </is>
      </c>
      <c r="H1" s="1" t="inlineStr">
        <is>
          <t>재실행 results</t>
        </is>
      </c>
      <c r="I1" s="1" t="inlineStr">
        <is>
          <t>재실행 문제 분류</t>
        </is>
      </c>
      <c r="J1" s="1" t="inlineStr">
        <is>
          <t>변화</t>
        </is>
      </c>
      <c r="K1" s="1" t="inlineStr">
        <is>
          <t>재실행 답변 미리보기(120자)</t>
        </is>
      </c>
    </row>
    <row r="2" ht="38" customHeight="1">
      <c r="A2" s="2" t="n">
        <v>1</v>
      </c>
      <c r="B2" s="3" t="inlineStr">
        <is>
          <t>2학년 수강신청 시간 알려줘</t>
        </is>
      </c>
      <c r="C2" s="3" t="inlineStr">
        <is>
          <t>—</t>
        </is>
      </c>
      <c r="D2" s="3" t="inlineStr">
        <is>
          <t>REGISTRATION_GENERAL</t>
        </is>
      </c>
      <c r="E2" s="2" t="n">
        <v>19452</v>
      </c>
      <c r="F2" s="2" t="n">
        <v>149</v>
      </c>
      <c r="G2" s="2" t="n">
        <v>0</v>
      </c>
      <c r="H2" s="2" t="n">
        <v>5</v>
      </c>
      <c r="I2" s="3" t="inlineStr">
        <is>
          <t>RESPONSE_DELAY_15s</t>
        </is>
      </c>
      <c r="J2" s="3" t="inlineStr">
        <is>
          <t>악화 (응답 지연)</t>
        </is>
      </c>
      <c r="K2" s="3" t="inlineStr">
        <is>
          <t>2.9.(월) - 2.12.(목) 10:00 \~ 15:20 (신청) | 15:30 \~ 16:00 (취소-신청 지연제) |  | 단, 2학년 수강신청 시간에 대한 별도의 정보는 컨텍스트에 없습니다. |  | ---</t>
        </is>
      </c>
    </row>
    <row r="3" ht="38" customHeight="1">
      <c r="A3" s="4" t="n">
        <v>2</v>
      </c>
      <c r="B3" s="5" t="inlineStr">
        <is>
          <t>전체적인 수강신청 알려줘</t>
        </is>
      </c>
      <c r="C3" s="5" t="inlineStr">
        <is>
          <t>Stage 0: follow-up 감지</t>
        </is>
      </c>
      <c r="D3" s="5" t="inlineStr">
        <is>
          <t>REGISTRATION_GENERAL</t>
        </is>
      </c>
      <c r="E3" s="4" t="n">
        <v>5437</v>
      </c>
      <c r="F3" s="4" t="n">
        <v>408</v>
      </c>
      <c r="G3" s="4" t="n">
        <v>0</v>
      </c>
      <c r="H3" s="4" t="n">
        <v>4</v>
      </c>
      <c r="I3" s="5" t="inlineStr">
        <is>
          <t>OK</t>
        </is>
      </c>
      <c r="J3" s="5" t="inlineStr">
        <is>
          <t>개선</t>
        </is>
      </c>
      <c r="K3" s="5" t="inlineStr">
        <is>
          <t xml:space="preserve">수강신청을 위해서는 사전 복학이 필수이며(휴학생 수강신청 불가), 학교 수강신청 사이트(http://sugang.bufs.ac.kr)에서 진행합니다. |  | 수강신청: 2026.2.9.(월) \~ 2.12.(목) </t>
        </is>
      </c>
    </row>
    <row r="4" ht="38" customHeight="1">
      <c r="A4" s="6" t="n">
        <v>3</v>
      </c>
      <c r="B4" s="7" t="inlineStr">
        <is>
          <t>수강신청 일정 알려줘</t>
        </is>
      </c>
      <c r="C4" s="7" t="inlineStr">
        <is>
          <t>—</t>
        </is>
      </c>
      <c r="D4" s="7" t="inlineStr">
        <is>
          <t>REGISTRATION_GENERAL</t>
        </is>
      </c>
      <c r="E4" s="6" t="n">
        <v>4735</v>
      </c>
      <c r="F4" s="6" t="n">
        <v>333</v>
      </c>
      <c r="G4" s="6" t="n">
        <v>0</v>
      </c>
      <c r="H4" s="6" t="n">
        <v>5</v>
      </c>
      <c r="I4" s="7" t="inlineStr">
        <is>
          <t>OK</t>
        </is>
      </c>
      <c r="J4" s="7" t="inlineStr">
        <is>
          <t>변동 없음(여전히 정상)</t>
        </is>
      </c>
      <c r="K4" s="7" t="inlineStr">
        <is>
          <t>수강신청 일정은 다음과 같습니다. |  | 수강신청: 2026.2.9.(월) \~ 2.12.(목) 10:00 - 15:20 / (취소신청지연제) 15:30 – 16:00 |  | 수강신청 확인 및 정정기간: 2026</t>
        </is>
      </c>
    </row>
    <row r="5" ht="38" customHeight="1">
      <c r="A5" s="6" t="n">
        <v>4</v>
      </c>
      <c r="B5" s="7" t="inlineStr">
        <is>
          <t>수강신청 일정과 방법을 알려줘</t>
        </is>
      </c>
      <c r="C5" s="7" t="inlineStr">
        <is>
          <t>—</t>
        </is>
      </c>
      <c r="D5" s="7" t="inlineStr">
        <is>
          <t>REGISTRATION_GENERAL</t>
        </is>
      </c>
      <c r="E5" s="6" t="n">
        <v>4296</v>
      </c>
      <c r="F5" s="6" t="n">
        <v>261</v>
      </c>
      <c r="G5" s="6" t="n">
        <v>0</v>
      </c>
      <c r="H5" s="6" t="n">
        <v>5</v>
      </c>
      <c r="I5" s="7" t="inlineStr">
        <is>
          <t>OK</t>
        </is>
      </c>
      <c r="J5" s="7" t="inlineStr">
        <is>
          <t>변동 없음(여전히 정상)</t>
        </is>
      </c>
      <c r="K5" s="7" t="inlineStr">
        <is>
          <t>신입생은 2.9.(월) 1학년 수강신청일과 2.12.(목) 전체 학년 수강신청일에 2학기에 수강할 모든 과목을 수강신청하여야 합니다. |  | 영어 레벨테스트 일정을 사전에 숙지하여 해당 기간에 레벨테스트에 참여하여</t>
        </is>
      </c>
    </row>
    <row r="6" ht="38" customHeight="1">
      <c r="A6" s="4" t="n">
        <v>5</v>
      </c>
      <c r="B6" s="5" t="inlineStr">
        <is>
          <t>본교 시험 평가 방식이 어떻게 돼?</t>
        </is>
      </c>
      <c r="C6" s="5" t="inlineStr">
        <is>
          <t>Stage 0: follow-up 감지</t>
        </is>
      </c>
      <c r="D6" s="5" t="inlineStr">
        <is>
          <t>COURSE_INFO</t>
        </is>
      </c>
      <c r="E6" s="4" t="n">
        <v>4000</v>
      </c>
      <c r="F6" s="4" t="n">
        <v>313</v>
      </c>
      <c r="G6" s="4" t="n">
        <v>0</v>
      </c>
      <c r="H6" s="4" t="n">
        <v>3</v>
      </c>
      <c r="I6" s="5" t="inlineStr">
        <is>
          <t>OK</t>
        </is>
      </c>
      <c r="J6" s="5" t="inlineStr">
        <is>
          <t>개선</t>
        </is>
      </c>
      <c r="K6" s="5" t="inlineStr">
        <is>
          <t>본교 일반 교과목(이론·강의형)은 2023학년도 2학기부터 절대평가로 운영됩니다. | 단, 캡스톤디자인 및 실습 교과목 등 일부 과목은 P/NP(Pass/Non-Pass) 평가가 적용됩니다. | P/NP 과목은 성적</t>
        </is>
      </c>
    </row>
    <row r="7" ht="38" customHeight="1">
      <c r="A7" s="6" t="n">
        <v>6</v>
      </c>
      <c r="B7" s="7" t="inlineStr">
        <is>
          <t>졸업학점 영역별로 알려줘</t>
        </is>
      </c>
      <c r="C7" s="7" t="inlineStr">
        <is>
          <t>—</t>
        </is>
      </c>
      <c r="D7" s="7" t="inlineStr">
        <is>
          <t>GRADUATION_REQ</t>
        </is>
      </c>
      <c r="E7" s="6" t="n">
        <v>5311</v>
      </c>
      <c r="F7" s="6" t="n">
        <v>449</v>
      </c>
      <c r="G7" s="6" t="n">
        <v>0</v>
      </c>
      <c r="H7" s="6" t="n">
        <v>7</v>
      </c>
      <c r="I7" s="7" t="inlineStr">
        <is>
          <t>OK</t>
        </is>
      </c>
      <c r="J7" s="7" t="inlineStr">
        <is>
          <t>변동 없음(여전히 정상)</t>
        </is>
      </c>
      <c r="K7" s="7" t="inlineStr">
        <is>
          <t>2023학번 내국인 학생의 졸업요건은 총 120학점이며, 이 중 교양 이수학점은 30학점입니다. | 교양 세부 영역은 다음과 같습니다. | - 인성체험교양(스포츠/음악/미술) 및 균형교양: 영역 관계없이 18학점 이</t>
        </is>
      </c>
    </row>
    <row r="8" ht="38" customHeight="1">
      <c r="A8" s="4" t="n">
        <v>7</v>
      </c>
      <c r="B8" s="5" t="inlineStr">
        <is>
          <t>2020학번 졸업학점 영역별로 알려줘</t>
        </is>
      </c>
      <c r="C8" s="5" t="inlineStr">
        <is>
          <t>Stage 0: follow-up 감지</t>
        </is>
      </c>
      <c r="D8" s="5" t="inlineStr">
        <is>
          <t>GRADUATION_REQ</t>
        </is>
      </c>
      <c r="E8" s="4" t="n">
        <v>5500</v>
      </c>
      <c r="F8" s="4" t="n">
        <v>376</v>
      </c>
      <c r="G8" s="4" t="n">
        <v>0</v>
      </c>
      <c r="H8" s="4" t="n">
        <v>7</v>
      </c>
      <c r="I8" s="5" t="inlineStr">
        <is>
          <t>OK</t>
        </is>
      </c>
      <c r="J8" s="5" t="inlineStr">
        <is>
          <t>개선</t>
        </is>
      </c>
      <c r="K8" s="5" t="inlineStr">
        <is>
          <t>2020학번 내국인 학생의 졸업을 위해서는 교양과 전공 이수학점을 포함하여 총 130학점 이상을 이수해야 하며, 주전공 단일전공 취득 시 주전공 이수학점은 36학점입니다. |  | 아르케기초교양은 영역에 관계없이 1</t>
        </is>
      </c>
    </row>
    <row r="9" ht="38" customHeight="1">
      <c r="A9" s="4" t="n">
        <v>8</v>
      </c>
      <c r="B9" s="5" t="inlineStr">
        <is>
          <t>조기졸업 자격 평점 기준 알려줘</t>
        </is>
      </c>
      <c r="C9" s="5" t="inlineStr">
        <is>
          <t>Phase 4 품질 게이트 (Stage 5.5)</t>
        </is>
      </c>
      <c r="D9" s="5" t="inlineStr">
        <is>
          <t>EARLY_GRADUATION</t>
        </is>
      </c>
      <c r="E9" s="4" t="n">
        <v>4016</v>
      </c>
      <c r="F9" s="4" t="n">
        <v>233</v>
      </c>
      <c r="G9" s="4" t="n">
        <v>0</v>
      </c>
      <c r="H9" s="4" t="n">
        <v>6</v>
      </c>
      <c r="I9" s="5" t="inlineStr">
        <is>
          <t>OK</t>
        </is>
      </c>
      <c r="J9" s="5" t="inlineStr">
        <is>
          <t>개선</t>
        </is>
      </c>
      <c r="K9" s="5" t="inlineStr">
        <is>
          <t>2007학번 이후는 평점 평균 4.3 이상입니다. | 2006학번은 평점 평균 4.2 이상, 2005학번 이전은 평점 평균 4.0 이상입니다. | 단, 신청하는 학기에 평점 평균 4.3 이상이어야 신청 가능하며, 조</t>
        </is>
      </c>
    </row>
    <row r="10" ht="38" customHeight="1">
      <c r="A10" s="4" t="n">
        <v>9</v>
      </c>
      <c r="B10" s="5" t="inlineStr">
        <is>
          <t>계절학기 학점 제한 알려줘</t>
        </is>
      </c>
      <c r="C10" s="5" t="inlineStr">
        <is>
          <t>Phase 4 품질 게이트 (Stage 5.5)</t>
        </is>
      </c>
      <c r="D10" s="5" t="inlineStr">
        <is>
          <t>SCHEDULE</t>
        </is>
      </c>
      <c r="E10" s="4" t="n">
        <v>3514</v>
      </c>
      <c r="F10" s="4" t="n">
        <v>214</v>
      </c>
      <c r="G10" s="4" t="n">
        <v>0</v>
      </c>
      <c r="H10" s="4" t="n">
        <v>8</v>
      </c>
      <c r="I10" s="5" t="inlineStr">
        <is>
          <t>OK</t>
        </is>
      </c>
      <c r="J10" s="5" t="inlineStr">
        <is>
          <t>개선</t>
        </is>
      </c>
      <c r="K10" s="5" t="inlineStr">
        <is>
          <t>계절학기 학점 제한은 학번에 관계없이 동일하게 적용됩니다. |  | 학기당 최대 6학점(계절학기 1회당 6학점까지)이며, 졸업 시까지 누적 최대 24학점입니다. | 단, 직전학기에 수강 중이던 과목은 계절학기 신청이</t>
        </is>
      </c>
    </row>
    <row r="11" ht="38" customHeight="1">
      <c r="A11" s="4" t="n">
        <v>10</v>
      </c>
      <c r="B11" s="5" t="inlineStr">
        <is>
          <t>재학증명서 발급 어떻게 받아?</t>
        </is>
      </c>
      <c r="C11" s="5" t="inlineStr">
        <is>
          <t>Phase 4 품질 게이트 (Stage 5.5)</t>
        </is>
      </c>
      <c r="D11" s="5" t="inlineStr">
        <is>
          <t>CERTIFICATE</t>
        </is>
      </c>
      <c r="E11" s="4" t="n">
        <v>3312</v>
      </c>
      <c r="F11" s="4" t="n">
        <v>235</v>
      </c>
      <c r="G11" s="4" t="n">
        <v>0</v>
      </c>
      <c r="H11" s="4" t="n">
        <v>5</v>
      </c>
      <c r="I11" s="5" t="inlineStr">
        <is>
          <t>OK</t>
        </is>
      </c>
      <c r="J11" s="5" t="inlineStr">
        <is>
          <t>개선</t>
        </is>
      </c>
      <c r="K11" s="5" t="inlineStr">
        <is>
          <t>재학증명서는 다음과 같은 방법으로 발급받을 수 있습니다. |  | 인터넷(학교홈페이지 &gt; MENU &gt; 자주찾는메뉴 &gt; 재학생 – 인터넷증명발급)으로 발급받거나, 가까운 주민센터에 방문하여 팩스민원을 신청하면 됩니다.</t>
        </is>
      </c>
    </row>
    <row r="12" ht="38" customHeight="1">
      <c r="A12" s="4" t="n">
        <v>11</v>
      </c>
      <c r="B12" s="5" t="inlineStr">
        <is>
          <t>졸업증명서 발급 어떻게?</t>
        </is>
      </c>
      <c r="C12" s="5" t="inlineStr">
        <is>
          <t>Phase 4 품질 게이트 (Stage 5.5)</t>
        </is>
      </c>
      <c r="D12" s="5" t="inlineStr">
        <is>
          <t>CERTIFICATE</t>
        </is>
      </c>
      <c r="E12" s="4" t="n">
        <v>3016</v>
      </c>
      <c r="F12" s="4" t="n">
        <v>150</v>
      </c>
      <c r="G12" s="4" t="n">
        <v>0</v>
      </c>
      <c r="H12" s="4" t="n">
        <v>5</v>
      </c>
      <c r="I12" s="5" t="inlineStr">
        <is>
          <t>OK</t>
        </is>
      </c>
      <c r="J12" s="5" t="inlineStr">
        <is>
          <t>개선</t>
        </is>
      </c>
      <c r="K12" s="5" t="inlineStr">
        <is>
          <t xml:space="preserve">졸업증명서는 이 대학교를 졸업한 자가 발급받을 수 있습니다. | 증명서 발급 기본 수수료는 1장당 국문 500원, 영문 1,000원입니다. 단, 발급 방법에 따라 결제금액이 상이할 수 있습니다. |  | --- | </t>
        </is>
      </c>
    </row>
    <row r="13" ht="38" customHeight="1">
      <c r="A13" s="4" t="n">
        <v>12</v>
      </c>
      <c r="B13" s="5" t="inlineStr">
        <is>
          <t>학생증 신청 방법 알려줘</t>
        </is>
      </c>
      <c r="C13" s="5" t="inlineStr">
        <is>
          <t>Stage 0: follow-up 감지</t>
        </is>
      </c>
      <c r="D13" s="5" t="inlineStr">
        <is>
          <t>FACILITY</t>
        </is>
      </c>
      <c r="E13" s="4" t="n">
        <v>4218</v>
      </c>
      <c r="F13" s="4" t="n">
        <v>329</v>
      </c>
      <c r="G13" s="4" t="n">
        <v>0</v>
      </c>
      <c r="H13" s="4" t="n">
        <v>4</v>
      </c>
      <c r="I13" s="5" t="inlineStr">
        <is>
          <t>OK</t>
        </is>
      </c>
      <c r="J13" s="5" t="inlineStr">
        <is>
          <t>개선</t>
        </is>
      </c>
      <c r="K13" s="5" t="inlineStr">
        <is>
          <t>학생증은 일반 학생증과 국제 학생증으로 구분되며, 신청 경로가 다릅니다. |  | 일반 학생증(모바일 학생증)은 스토어(Google Play / App Store)에서 '부산외국어대학교 모바일학생증' 또는 '부산외국</t>
        </is>
      </c>
    </row>
    <row r="14" ht="38" customHeight="1">
      <c r="A14" s="4" t="n">
        <v>13</v>
      </c>
      <c r="B14" s="5" t="inlineStr">
        <is>
          <t>중간고사 기간 언제야?</t>
        </is>
      </c>
      <c r="C14" s="5" t="inlineStr">
        <is>
          <t>Stage 0: follow-up 감지</t>
        </is>
      </c>
      <c r="D14" s="5" t="inlineStr">
        <is>
          <t>SCHEDULE</t>
        </is>
      </c>
      <c r="E14" s="4" t="n">
        <v>4110</v>
      </c>
      <c r="F14" s="4" t="n">
        <v>129</v>
      </c>
      <c r="G14" s="4" t="n">
        <v>0</v>
      </c>
      <c r="H14" s="4" t="n">
        <v>7</v>
      </c>
      <c r="I14" s="5" t="inlineStr">
        <is>
          <t>OK</t>
        </is>
      </c>
      <c r="J14" s="5" t="inlineStr">
        <is>
          <t>개선</t>
        </is>
      </c>
      <c r="K14" s="5" t="inlineStr">
        <is>
          <t>중간고사 기간은 2026년 4월 20일부터 4월 24일까지입니다. |  | --- | *검증 경고:* | - 답변에 출처(페이지 번호)가 명시되지 않았습니다. |  | --- | 📞 학사 문의: **학사지원팀 (대표</t>
        </is>
      </c>
    </row>
    <row r="15" ht="38" customHeight="1">
      <c r="A15" s="6" t="n">
        <v>14</v>
      </c>
      <c r="B15" s="7" t="inlineStr">
        <is>
          <t>등록금은 어느부서에 문의해야해?</t>
        </is>
      </c>
      <c r="C15" s="7" t="inlineStr">
        <is>
          <t>—</t>
        </is>
      </c>
      <c r="D15" s="7" t="inlineStr">
        <is>
          <t>TUITION_BENEFIT</t>
        </is>
      </c>
      <c r="E15" s="6" t="n">
        <v>3093</v>
      </c>
      <c r="F15" s="6" t="n">
        <v>82</v>
      </c>
      <c r="G15" s="6" t="n">
        <v>0</v>
      </c>
      <c r="H15" s="6" t="n">
        <v>3</v>
      </c>
      <c r="I15" s="7" t="inlineStr">
        <is>
          <t>OK</t>
        </is>
      </c>
      <c r="J15" s="7" t="inlineStr">
        <is>
          <t>변동 없음(여전히 정상)</t>
        </is>
      </c>
      <c r="K15" s="7" t="inlineStr">
        <is>
          <t>등록금 관련 문의는 재무팀(509-5382\~4)으로 하시면 됩니다. |  | --- | *검증 경고:* | - 답변에 출처(페이지 번호)가 명시되지 않았습니다.</t>
        </is>
      </c>
    </row>
    <row r="16" ht="38" customHeight="1">
      <c r="A16" s="6" t="n">
        <v>15</v>
      </c>
      <c r="B16" s="7" t="inlineStr">
        <is>
          <t>2020학번 졸업요건 알려줘</t>
        </is>
      </c>
      <c r="C16" s="7" t="inlineStr">
        <is>
          <t>—</t>
        </is>
      </c>
      <c r="D16" s="7" t="inlineStr">
        <is>
          <t>GRADUATION_REQ</t>
        </is>
      </c>
      <c r="E16" s="6" t="n">
        <v>6125</v>
      </c>
      <c r="F16" s="6" t="n">
        <v>518</v>
      </c>
      <c r="G16" s="6" t="n">
        <v>0</v>
      </c>
      <c r="H16" s="6" t="n">
        <v>7</v>
      </c>
      <c r="I16" s="7" t="inlineStr">
        <is>
          <t>OK</t>
        </is>
      </c>
      <c r="J16" s="7" t="inlineStr">
        <is>
          <t>변동 없음(여전히 정상)</t>
        </is>
      </c>
      <c r="K16" s="7" t="inlineStr">
        <is>
          <t>2020학번 내국인 학생의 졸업을 위해서는 교양과 전공 이수학점을 포함하여 총 130학점 이상을 이수하고 주전공 졸업시험을 통과해야 합니다. |  | 단일전공 취득 시 주전공 이수학점은 36학점입니다. | 아르케기초</t>
        </is>
      </c>
    </row>
    <row r="17" ht="38" customHeight="1">
      <c r="A17" s="4" t="n">
        <v>16</v>
      </c>
      <c r="B17" s="5" t="inlineStr">
        <is>
          <t>자유학기제에 대해 알려줘</t>
        </is>
      </c>
      <c r="C17" s="5" t="inlineStr">
        <is>
          <t>Stage 0: follow-up 감지</t>
        </is>
      </c>
      <c r="D17" s="5" t="inlineStr">
        <is>
          <t>COURSE_INFO</t>
        </is>
      </c>
      <c r="E17" s="4" t="n">
        <v>6546</v>
      </c>
      <c r="F17" s="4" t="n">
        <v>404</v>
      </c>
      <c r="G17" s="4" t="n">
        <v>0</v>
      </c>
      <c r="H17" s="4" t="n">
        <v>3</v>
      </c>
      <c r="I17" s="5" t="inlineStr">
        <is>
          <t>OK</t>
        </is>
      </c>
      <c r="J17" s="5" t="inlineStr">
        <is>
          <t>개선</t>
        </is>
      </c>
      <c r="K17" s="5" t="inlineStr">
        <is>
          <t>2\~4학년 학생들의 역량 강화를 위해 운영되는 자유학기제에는 진로탐색(도전학기), 취업역량 강화, 현장실습, 해외 학기 등 다양한 프로그램 참여가 보장됩니다. | 주요 교육 내용은 지도교수 및 선배와 함께하는 인성</t>
        </is>
      </c>
    </row>
    <row r="18" ht="38" customHeight="1">
      <c r="A18" s="6" t="n">
        <v>17</v>
      </c>
      <c r="B18" s="7" t="inlineStr">
        <is>
          <t>학사 관련 자주 묻는 질문을 알려줘</t>
        </is>
      </c>
      <c r="C18" s="7" t="inlineStr">
        <is>
          <t>—</t>
        </is>
      </c>
      <c r="D18" s="7" t="inlineStr">
        <is>
          <t>GRADUATION_REQ</t>
        </is>
      </c>
      <c r="E18" s="6" t="n">
        <v>6968</v>
      </c>
      <c r="F18" s="6" t="n">
        <v>779</v>
      </c>
      <c r="G18" s="6" t="n">
        <v>0</v>
      </c>
      <c r="H18" s="6" t="n">
        <v>7</v>
      </c>
      <c r="I18" s="7" t="inlineStr">
        <is>
          <t>OK</t>
        </is>
      </c>
      <c r="J18" s="7" t="inlineStr">
        <is>
          <t>변동 없음(여전히 정상)</t>
        </is>
      </c>
      <c r="K18" s="7" t="inlineStr">
        <is>
          <t>학사 관련 주요 사항은 다음과 같습니다. |  | [학적] | 일반휴학(또는 군휴학)은 [통합정보시스템] → [학적] → [휴/복학 신청] 메뉴에서 온라인으로 신청합니다. | 신청 기간은 매 학기 시작 전 지정된 기</t>
        </is>
      </c>
    </row>
    <row r="19" ht="38" customHeight="1">
      <c r="A19" s="4" t="n">
        <v>18</v>
      </c>
      <c r="B19" s="5" t="inlineStr">
        <is>
          <t>성적평가 P/NP 신청가능학점은?</t>
        </is>
      </c>
      <c r="C19" s="5" t="inlineStr">
        <is>
          <t>Stage 0: follow-up 감지</t>
        </is>
      </c>
      <c r="D19" s="5" t="inlineStr">
        <is>
          <t>GRADE_OPTION</t>
        </is>
      </c>
      <c r="E19" s="4" t="n">
        <v>3594</v>
      </c>
      <c r="F19" s="4" t="n">
        <v>202</v>
      </c>
      <c r="G19" s="4" t="n">
        <v>0</v>
      </c>
      <c r="H19" s="4" t="n">
        <v>5</v>
      </c>
      <c r="I19" s="5" t="inlineStr">
        <is>
          <t>OK</t>
        </is>
      </c>
      <c r="J19" s="5" t="inlineStr">
        <is>
          <t>개선</t>
        </is>
      </c>
      <c r="K19" s="5" t="inlineStr">
        <is>
          <t xml:space="preserve">취업역량학기제는 연수 시수에 따라 3학점에서 18학점까지 인정되며, 정규학기 당 18학점 이내, 계절학기 6학점 이내에서 인정합니다. | 자기경영학습법I 및 II 과목은 2학점이며 성적평가는 P/NP로 적용됩니다. </t>
        </is>
      </c>
    </row>
    <row r="20" ht="38" customHeight="1">
      <c r="A20" s="6" t="n">
        <v>19</v>
      </c>
      <c r="B20" s="7" t="inlineStr">
        <is>
          <t>2024학번의 수강신청가능학점은?</t>
        </is>
      </c>
      <c r="C20" s="7" t="inlineStr">
        <is>
          <t>Stage 0: follow-up 감지</t>
        </is>
      </c>
      <c r="D20" s="7" t="inlineStr">
        <is>
          <t>REGISTRATION_GENERAL</t>
        </is>
      </c>
      <c r="E20" s="6" t="n">
        <v>3421</v>
      </c>
      <c r="F20" s="6" t="n">
        <v>17</v>
      </c>
      <c r="G20" s="6" t="n">
        <v>0</v>
      </c>
      <c r="H20" s="6" t="n">
        <v>5</v>
      </c>
      <c r="I20" s="7" t="inlineStr">
        <is>
          <t>REFUSED</t>
        </is>
      </c>
      <c r="J20" s="7" t="inlineStr">
        <is>
          <t>동일/판단보류</t>
        </is>
      </c>
      <c r="K20" s="7" t="inlineStr">
        <is>
          <t>관련 정보를 찾을 수 없습니다.</t>
        </is>
      </c>
    </row>
    <row r="21" ht="38" customHeight="1">
      <c r="A21" s="4" t="n">
        <v>20</v>
      </c>
      <c r="B21" s="5" t="inlineStr">
        <is>
          <t>2024학번도 학점이월제 가능?</t>
        </is>
      </c>
      <c r="C21" s="5" t="inlineStr">
        <is>
          <t>Stage 0: follow-up 감지</t>
        </is>
      </c>
      <c r="D21" s="5" t="inlineStr">
        <is>
          <t>REREGISTRATION</t>
        </is>
      </c>
      <c r="E21" s="4" t="n">
        <v>3718</v>
      </c>
      <c r="F21" s="4" t="n">
        <v>139</v>
      </c>
      <c r="G21" s="4" t="n">
        <v>0</v>
      </c>
      <c r="H21" s="4" t="n">
        <v>4</v>
      </c>
      <c r="I21" s="5" t="inlineStr">
        <is>
          <t>OK</t>
        </is>
      </c>
      <c r="J21" s="5" t="inlineStr">
        <is>
          <t>개선</t>
        </is>
      </c>
      <c r="K21" s="5" t="inlineStr">
        <is>
          <t>2024학번은 학점이월제 적용 대상이 아닙니다. | 학점이월제는 2022학번 이전 학번 학생에게만 적용되며, 2023학년도 신입생부터 폐지되었습니다. |  | [참고] 학점: 6학점 |  | --- | *검증 경고:</t>
        </is>
      </c>
    </row>
    <row r="22" ht="38" customHeight="1">
      <c r="A22" s="4" t="n">
        <v>21</v>
      </c>
      <c r="B22" s="5" t="inlineStr">
        <is>
          <t>커리어블라썸 교과목 신청 방법은</t>
        </is>
      </c>
      <c r="C22" s="5" t="inlineStr">
        <is>
          <t>Stage 0: follow-up 감지</t>
        </is>
      </c>
      <c r="D22" s="5" t="inlineStr">
        <is>
          <t>COURSE_INFO</t>
        </is>
      </c>
      <c r="E22" s="4" t="n">
        <v>3828</v>
      </c>
      <c r="F22" s="4" t="n">
        <v>240</v>
      </c>
      <c r="G22" s="4" t="n">
        <v>0</v>
      </c>
      <c r="H22" s="4" t="n">
        <v>6</v>
      </c>
      <c r="I22" s="5" t="inlineStr">
        <is>
          <t>OK</t>
        </is>
      </c>
      <c r="J22" s="5" t="inlineStr">
        <is>
          <t>개선</t>
        </is>
      </c>
      <c r="K22" s="5" t="inlineStr">
        <is>
          <t xml:space="preserve">커리어블라썸 신청 방법은 개강 전에 신청서 및 계획서를 작성하여 제출(지도교수 승낙 포함)하고, 담당선생님과의 컨설팅을 진행해야 합니다. | 이후 심사위원 심사를 통해 선정된 학생이 선발됩니다. | 단, 수강신청의 </t>
        </is>
      </c>
    </row>
    <row r="23" ht="38" customHeight="1">
      <c r="A23" s="6" t="n">
        <v>22</v>
      </c>
      <c r="B23" s="7" t="inlineStr">
        <is>
          <t>취업커뮤니티 문의는 어디다가 해야해</t>
        </is>
      </c>
      <c r="C23" s="7" t="inlineStr">
        <is>
          <t>Stage 0: follow-up 감지</t>
        </is>
      </c>
      <c r="D23" s="7" t="inlineStr">
        <is>
          <t>CONTACT</t>
        </is>
      </c>
      <c r="E23" s="6" t="n">
        <v>2531</v>
      </c>
      <c r="F23" s="6" t="n">
        <v>17</v>
      </c>
      <c r="G23" s="6" t="n">
        <v>0</v>
      </c>
      <c r="H23" s="6" t="n">
        <v>5</v>
      </c>
      <c r="I23" s="7" t="inlineStr">
        <is>
          <t>REFUSED</t>
        </is>
      </c>
      <c r="J23" s="7" t="inlineStr">
        <is>
          <t>동일/판단보류</t>
        </is>
      </c>
      <c r="K23" s="7" t="inlineStr">
        <is>
          <t>관련 정보를 찾을 수 없습니다.</t>
        </is>
      </c>
    </row>
    <row r="24" ht="38" customHeight="1">
      <c r="A24" s="6" t="n">
        <v>23</v>
      </c>
      <c r="B24" s="7" t="inlineStr">
        <is>
          <t>사회봉사 과목은 어디다가 물어봐야 해</t>
        </is>
      </c>
      <c r="C24" s="7" t="inlineStr">
        <is>
          <t>—</t>
        </is>
      </c>
      <c r="D24" s="7" t="inlineStr">
        <is>
          <t>COURSE_INFO</t>
        </is>
      </c>
      <c r="E24" s="6" t="n">
        <v>4171</v>
      </c>
      <c r="F24" s="6" t="n">
        <v>178</v>
      </c>
      <c r="G24" s="6" t="n">
        <v>0</v>
      </c>
      <c r="H24" s="6" t="n">
        <v>3</v>
      </c>
      <c r="I24" s="7" t="inlineStr">
        <is>
          <t>OK</t>
        </is>
      </c>
      <c r="J24" s="7" t="inlineStr">
        <is>
          <t>변동 없음(여전히 정상)</t>
        </is>
      </c>
      <c r="K24" s="7" t="inlineStr">
        <is>
          <t>사회봉사(일반, 해외, 온라인, 글로벌) 교과목에 관한 문의는 사회기여센터로 하시면 됩니다. |  | [참고] 사이트: https://scc.bufs.ac.kr |  | --- | *검증 경고:* | - 답변에 출처</t>
        </is>
      </c>
    </row>
    <row r="25" ht="38" customHeight="1">
      <c r="A25" s="6" t="n">
        <v>24</v>
      </c>
      <c r="B25" s="7" t="inlineStr">
        <is>
          <t>학사일정 알려줘</t>
        </is>
      </c>
      <c r="C25" s="7" t="inlineStr">
        <is>
          <t>—</t>
        </is>
      </c>
      <c r="D25" s="7" t="inlineStr">
        <is>
          <t>SCHEDULE</t>
        </is>
      </c>
      <c r="E25" s="6" t="n">
        <v>6108</v>
      </c>
      <c r="F25" s="6" t="n">
        <v>371</v>
      </c>
      <c r="G25" s="6" t="n">
        <v>0</v>
      </c>
      <c r="H25" s="6" t="n">
        <v>6</v>
      </c>
      <c r="I25" s="7" t="inlineStr">
        <is>
          <t>OK</t>
        </is>
      </c>
      <c r="J25" s="7" t="inlineStr">
        <is>
          <t>변동 없음(여전히 정상)</t>
        </is>
      </c>
      <c r="K25" s="7" t="inlineStr">
        <is>
          <t>2026학년도 1학기 주요 학사일정은 다음과 같습니다. |  | 장바구니 신청: 2026년 1월 28일부터 2월 1일 (10:00〜16:00) | 개강 및 공휴일(삼일절 대체 휴일): 2026년 3월 2일 | 수업시</t>
        </is>
      </c>
    </row>
    <row r="26" ht="38" customHeight="1">
      <c r="A26" s="6" t="n">
        <v>25</v>
      </c>
      <c r="B26" s="7" t="inlineStr">
        <is>
          <t>노동절에 휴강해?</t>
        </is>
      </c>
      <c r="C26" s="7" t="inlineStr">
        <is>
          <t>—</t>
        </is>
      </c>
      <c r="D26" s="7" t="inlineStr">
        <is>
          <t>SCHEDULE</t>
        </is>
      </c>
      <c r="E26" s="6" t="n">
        <v>3171</v>
      </c>
      <c r="F26" s="6" t="n">
        <v>66</v>
      </c>
      <c r="G26" s="6" t="n">
        <v>0</v>
      </c>
      <c r="H26" s="6" t="n">
        <v>5</v>
      </c>
      <c r="I26" s="7" t="inlineStr">
        <is>
          <t>REFUSED</t>
        </is>
      </c>
      <c r="J26" s="7" t="inlineStr">
        <is>
          <t>동일/판단보류</t>
        </is>
      </c>
      <c r="K26" s="7" t="inlineStr">
        <is>
          <t>관련 정보를 찾을 수 없습니다. |  | --- | 📞 학사 문의: **학사지원팀 (대표)** `051-509-5182~5183`</t>
        </is>
      </c>
    </row>
    <row r="27" ht="38" customHeight="1">
      <c r="A27" s="4" t="n">
        <v>26</v>
      </c>
      <c r="B27" s="5" t="inlineStr">
        <is>
          <t>영어전공 학과사무실 전화번호</t>
        </is>
      </c>
      <c r="C27" s="5" t="inlineStr">
        <is>
          <t>Stage 5: LLM 스트리밍 생성</t>
        </is>
      </c>
      <c r="D27" s="5" t="inlineStr">
        <is>
          <t>CONTACT</t>
        </is>
      </c>
      <c r="E27" s="4" t="n">
        <v>16</v>
      </c>
      <c r="F27" s="4" t="n">
        <v>129</v>
      </c>
      <c r="G27" s="4" t="n">
        <v>0</v>
      </c>
      <c r="H27" s="4" t="n">
        <v>0</v>
      </c>
      <c r="I27" s="5" t="inlineStr">
        <is>
          <t>OK</t>
        </is>
      </c>
      <c r="J27" s="5" t="inlineStr">
        <is>
          <t>개선</t>
        </is>
      </c>
      <c r="K27" s="5" t="inlineStr">
        <is>
          <t>📞 **연락처 안내** |  | - **영어전공** (유럽미주대학): `내선 5552` / 051-509-5552 | 사무실: D594 | - **영어학부** (유럽미주대학): `내선 5551` / 051-509-5</t>
        </is>
      </c>
    </row>
    <row r="28" ht="38" customHeight="1">
      <c r="A28" s="6" t="n">
        <v>27</v>
      </c>
      <c r="B28" s="7" t="inlineStr">
        <is>
          <t>국가장학금을 받아서 등록금을 납부하려고 하는데, 어느 부서에 물어봐야 할까?</t>
        </is>
      </c>
      <c r="C28" s="7" t="inlineStr">
        <is>
          <t>—</t>
        </is>
      </c>
      <c r="D28" s="7" t="inlineStr">
        <is>
          <t>TUITION_BENEFIT</t>
        </is>
      </c>
      <c r="E28" s="6" t="n">
        <v>4468</v>
      </c>
      <c r="F28" s="6" t="n">
        <v>80</v>
      </c>
      <c r="G28" s="6" t="n">
        <v>0</v>
      </c>
      <c r="H28" s="6" t="n">
        <v>3</v>
      </c>
      <c r="I28" s="7" t="inlineStr">
        <is>
          <t>OK</t>
        </is>
      </c>
      <c r="J28" s="7" t="inlineStr">
        <is>
          <t>변동 없음(여전히 정상)</t>
        </is>
      </c>
      <c r="K28" s="7" t="inlineStr">
        <is>
          <t>국가장학금에 관한 문의는 학생복지팀(국가장학)으로 하시면 됩니다. |  | --- | *검증 경고:* | - 답변에 출처(페이지 번호)가 명시되지 않았습니다.</t>
        </is>
      </c>
    </row>
    <row r="29" ht="38" customHeight="1">
      <c r="A29" s="6" t="n">
        <v>28</v>
      </c>
      <c r="B29" s="7" t="inlineStr">
        <is>
          <t>운동장을 대여하고 싶어</t>
        </is>
      </c>
      <c r="C29" s="7" t="inlineStr">
        <is>
          <t>Stage 2: 검색 (search) + Stage 3: merge</t>
        </is>
      </c>
      <c r="D29" s="7" t="inlineStr">
        <is>
          <t>FACILITY</t>
        </is>
      </c>
      <c r="E29" s="6" t="n">
        <v>2235</v>
      </c>
      <c r="F29" s="6" t="n">
        <v>17</v>
      </c>
      <c r="G29" s="6" t="n">
        <v>0</v>
      </c>
      <c r="H29" s="6" t="n">
        <v>3</v>
      </c>
      <c r="I29" s="7" t="inlineStr">
        <is>
          <t>OUT_OF_SCOPE(refused)</t>
        </is>
      </c>
      <c r="J29" s="7" t="inlineStr">
        <is>
          <t>동일/판단보류</t>
        </is>
      </c>
      <c r="K29" s="7" t="inlineStr">
        <is>
          <t>관련 정보를 찾을 수 없습니다.</t>
        </is>
      </c>
    </row>
    <row r="30" ht="38" customHeight="1">
      <c r="A30" s="6" t="n">
        <v>29</v>
      </c>
      <c r="B30" s="7" t="inlineStr">
        <is>
          <t>주차 문의</t>
        </is>
      </c>
      <c r="C30" s="7" t="inlineStr">
        <is>
          <t>Stage 5: LLM 스트리밍 생성</t>
        </is>
      </c>
      <c r="D30" s="7" t="inlineStr">
        <is>
          <t>FACILITY</t>
        </is>
      </c>
      <c r="E30" s="6" t="n">
        <v>3858</v>
      </c>
      <c r="F30" s="6" t="n">
        <v>321</v>
      </c>
      <c r="G30" s="6" t="n">
        <v>0</v>
      </c>
      <c r="H30" s="6" t="n">
        <v>3</v>
      </c>
      <c r="I30" s="7" t="inlineStr">
        <is>
          <t>OUT_OF_SCOPE(answered)</t>
        </is>
      </c>
      <c r="J30" s="7" t="inlineStr">
        <is>
          <t>동일/판단보류</t>
        </is>
      </c>
      <c r="K30" s="7" t="inlineStr">
        <is>
          <t>현장실습 학점인정은 실습 기간에 따라 다음과 같이 차등 적용됩니다. | 6주 이상\~8주 미만은 6학점, 12주 이상\~14주 미만은 15학점, 14주 이상은 18학점을 인정합니다. |  | 학점 인정 범위는 정규학</t>
        </is>
      </c>
    </row>
    <row r="31" ht="38" customHeight="1">
      <c r="A31" s="6" t="n">
        <v>30</v>
      </c>
      <c r="B31" s="7" t="inlineStr">
        <is>
          <t>셔틀버스 시간표</t>
        </is>
      </c>
      <c r="C31" s="7" t="inlineStr">
        <is>
          <t>Stage 2: 검색 (search) + Stage 3: merge</t>
        </is>
      </c>
      <c r="D31" s="7" t="inlineStr">
        <is>
          <t>FACILITY</t>
        </is>
      </c>
      <c r="E31" s="6" t="n">
        <v>4546</v>
      </c>
      <c r="F31" s="6" t="n">
        <v>82</v>
      </c>
      <c r="G31" s="6" t="n">
        <v>0</v>
      </c>
      <c r="H31" s="6" t="n">
        <v>3</v>
      </c>
      <c r="I31" s="7" t="inlineStr">
        <is>
          <t>OUT_OF_SCOPE(answered)</t>
        </is>
      </c>
      <c r="J31" s="7" t="inlineStr">
        <is>
          <t>동일/판단보류</t>
        </is>
      </c>
      <c r="K31" s="7" t="inlineStr">
        <is>
          <t>운행시간은 학교 홈페이지의 하단의 통학버스 메뉴에서 확인 가능합니다. |  | --- | *검증 경고:* | - 답변에 출처(페이지 번호)가 명시되지 않았습니다.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38" customWidth="1" min="3" max="3"/>
  </cols>
  <sheetData>
    <row r="1">
      <c r="A1" s="8">
        <f>== 정상률 ===</f>
        <v/>
      </c>
      <c r="B1" s="9" t="inlineStr"/>
      <c r="C1" s="9" t="inlineStr"/>
    </row>
    <row r="2">
      <c r="A2" s="10" t="inlineStr">
        <is>
          <t>이전 정상 (stage='—')</t>
        </is>
      </c>
      <c r="B2" s="10" t="inlineStr">
        <is>
          <t>11 / 30</t>
        </is>
      </c>
      <c r="C2" s="10" t="inlineStr">
        <is>
          <t>36.7%</t>
        </is>
      </c>
    </row>
    <row r="3">
      <c r="A3" s="10" t="inlineStr">
        <is>
          <t>재실행 정상 (OK)</t>
        </is>
      </c>
      <c r="B3" s="10" t="inlineStr">
        <is>
          <t>23 / 30</t>
        </is>
      </c>
      <c r="C3" s="10" t="inlineStr">
        <is>
          <t>76.7%</t>
        </is>
      </c>
    </row>
    <row r="4">
      <c r="A4" s="10" t="inlineStr">
        <is>
          <t>개선폭</t>
        </is>
      </c>
      <c r="B4" s="10" t="inlineStr">
        <is>
          <t>+12건</t>
        </is>
      </c>
      <c r="C4" s="10" t="inlineStr">
        <is>
          <t>+40.0pp</t>
        </is>
      </c>
    </row>
    <row r="5">
      <c r="A5" s="10" t="inlineStr"/>
      <c r="B5" s="10" t="inlineStr"/>
      <c r="C5" s="10" t="inlineStr"/>
    </row>
    <row r="6">
      <c r="A6" s="8">
        <f>== 응답 시간 ===</f>
        <v/>
      </c>
      <c r="B6" s="9" t="inlineStr"/>
      <c r="C6" s="9" t="inlineStr"/>
    </row>
    <row r="7">
      <c r="A7" s="10" t="inlineStr">
        <is>
          <t>이전 평균 응답시간 (ms)</t>
        </is>
      </c>
      <c r="B7" s="10" t="inlineStr">
        <is>
          <t>5912</t>
        </is>
      </c>
      <c r="C7" s="10" t="inlineStr"/>
    </row>
    <row r="8">
      <c r="A8" s="10" t="inlineStr">
        <is>
          <t>재실행 평균 응답시간 (ms)</t>
        </is>
      </c>
      <c r="B8" s="10" t="inlineStr">
        <is>
          <t>4643</t>
        </is>
      </c>
      <c r="C8" s="10" t="inlineStr"/>
    </row>
    <row r="9">
      <c r="A9" s="10" t="inlineStr">
        <is>
          <t>응답시간 변화</t>
        </is>
      </c>
      <c r="B9" s="10" t="inlineStr">
        <is>
          <t>-1269 ms</t>
        </is>
      </c>
      <c r="C9" s="10" t="inlineStr">
        <is>
          <t>-21.5%</t>
        </is>
      </c>
    </row>
    <row r="10">
      <c r="A10" s="10" t="inlineStr"/>
      <c r="B10" s="10" t="inlineStr"/>
      <c r="C10" s="10" t="inlineStr"/>
    </row>
    <row r="11">
      <c r="A11" s="8">
        <f>== 이전 stage 분포 ===</f>
        <v/>
      </c>
      <c r="B11" s="9" t="inlineStr"/>
      <c r="C11" s="9" t="inlineStr"/>
    </row>
    <row r="12">
      <c r="A12" s="10" t="inlineStr">
        <is>
          <t>—</t>
        </is>
      </c>
      <c r="B12" s="10" t="inlineStr">
        <is>
          <t>11</t>
        </is>
      </c>
      <c r="C12" s="10" t="inlineStr"/>
    </row>
    <row r="13">
      <c r="A13" s="10" t="inlineStr">
        <is>
          <t>Stage 0: follow-up 감지</t>
        </is>
      </c>
      <c r="B13" s="10" t="inlineStr">
        <is>
          <t>11</t>
        </is>
      </c>
      <c r="C13" s="10" t="inlineStr"/>
    </row>
    <row r="14">
      <c r="A14" s="10" t="inlineStr">
        <is>
          <t>Phase 4 품질 게이트 (Stage 5.5)</t>
        </is>
      </c>
      <c r="B14" s="10" t="inlineStr">
        <is>
          <t>4</t>
        </is>
      </c>
      <c r="C14" s="10" t="inlineStr"/>
    </row>
    <row r="15">
      <c r="A15" s="10" t="inlineStr">
        <is>
          <t>Stage 5: LLM 스트리밍 생성</t>
        </is>
      </c>
      <c r="B15" s="10" t="inlineStr">
        <is>
          <t>2</t>
        </is>
      </c>
      <c r="C15" s="10" t="inlineStr"/>
    </row>
    <row r="16">
      <c r="A16" s="10" t="inlineStr">
        <is>
          <t>Stage 2: 검색 (search) + Stage 3: merge</t>
        </is>
      </c>
      <c r="B16" s="10" t="inlineStr">
        <is>
          <t>2</t>
        </is>
      </c>
      <c r="C16" s="10" t="inlineStr"/>
    </row>
    <row r="17">
      <c r="A17" s="10" t="inlineStr"/>
      <c r="B17" s="10" t="inlineStr"/>
      <c r="C17" s="10" t="inlineStr"/>
    </row>
    <row r="18">
      <c r="A18" s="8">
        <f>== 재실행 문제 분포 ===</f>
        <v/>
      </c>
      <c r="B18" s="9" t="inlineStr"/>
      <c r="C18" s="9" t="inlineStr"/>
    </row>
    <row r="19">
      <c r="A19" s="10" t="inlineStr">
        <is>
          <t>OK</t>
        </is>
      </c>
      <c r="B19" s="10" t="inlineStr">
        <is>
          <t>23</t>
        </is>
      </c>
      <c r="C19" s="10" t="inlineStr"/>
    </row>
    <row r="20">
      <c r="A20" s="10" t="inlineStr">
        <is>
          <t>REFUSED</t>
        </is>
      </c>
      <c r="B20" s="10" t="inlineStr">
        <is>
          <t>3</t>
        </is>
      </c>
      <c r="C20" s="10" t="inlineStr"/>
    </row>
    <row r="21">
      <c r="A21" s="10" t="inlineStr">
        <is>
          <t>OUT_OF_SCOPE(answered)</t>
        </is>
      </c>
      <c r="B21" s="10" t="inlineStr">
        <is>
          <t>2</t>
        </is>
      </c>
      <c r="C21" s="10" t="inlineStr"/>
    </row>
    <row r="22">
      <c r="A22" s="10" t="inlineStr">
        <is>
          <t>RESPONSE_DELAY_15s</t>
        </is>
      </c>
      <c r="B22" s="10" t="inlineStr">
        <is>
          <t>1</t>
        </is>
      </c>
      <c r="C22" s="10" t="inlineStr"/>
    </row>
    <row r="23">
      <c r="A23" s="10" t="inlineStr">
        <is>
          <t>OUT_OF_SCOPE(refused)</t>
        </is>
      </c>
      <c r="B23" s="10" t="inlineStr">
        <is>
          <t>1</t>
        </is>
      </c>
      <c r="C23" s="10" t="inlineStr"/>
    </row>
    <row r="24">
      <c r="A24" s="10" t="inlineStr"/>
      <c r="B24" s="10" t="inlineStr"/>
      <c r="C24" s="10" t="inlineStr"/>
    </row>
    <row r="25">
      <c r="A25" s="8">
        <f>== 변화 유형 ===</f>
        <v/>
      </c>
      <c r="B25" s="9" t="inlineStr"/>
      <c r="C25" s="9" t="inlineStr"/>
    </row>
    <row r="26">
      <c r="A26" s="10" t="inlineStr">
        <is>
          <t>개선</t>
        </is>
      </c>
      <c r="B26" s="10" t="inlineStr">
        <is>
          <t>14</t>
        </is>
      </c>
      <c r="C26" s="10" t="inlineStr"/>
    </row>
    <row r="27">
      <c r="A27" s="10" t="inlineStr">
        <is>
          <t>변동 없음(여전히 정상)</t>
        </is>
      </c>
      <c r="B27" s="10" t="inlineStr">
        <is>
          <t>9</t>
        </is>
      </c>
      <c r="C27" s="10" t="inlineStr"/>
    </row>
    <row r="28">
      <c r="A28" s="10" t="inlineStr">
        <is>
          <t>동일/판단보류</t>
        </is>
      </c>
      <c r="B28" s="10" t="inlineStr">
        <is>
          <t>6</t>
        </is>
      </c>
      <c r="C28" s="10" t="inlineStr"/>
    </row>
    <row r="29">
      <c r="A29" s="10" t="inlineStr">
        <is>
          <t>악화 (응답 지연)</t>
        </is>
      </c>
      <c r="B29" s="10" t="inlineStr">
        <is>
          <t>1</t>
        </is>
      </c>
      <c r="C29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2026-05-19T16:03:15Z</dcterms:created>
  <dcterms:modified xmlns:dcterms="http://purl.org/dc/terms/" xmlns:xsi="http://www.w3.org/2001/XMLSchema-instance" xsi:type="dcterms:W3CDTF">2026-05-19T16:03:15Z</dcterms:modified>
</cp:coreProperties>
</file>